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331c3f4abb0b1c/Desktop/Pia Estate GmbH/Liegenschaften/Oxalis Holding GmbH/1090 Wien^J Zimmermannplatz 6/Grundriss/Homepage/"/>
    </mc:Choice>
  </mc:AlternateContent>
  <xr:revisionPtr revIDLastSave="81" documentId="8_{B2191DDB-4921-4DF3-878B-AFBA23626FEA}" xr6:coauthVersionLast="47" xr6:coauthVersionMax="47" xr10:uidLastSave="{F2CE33AB-2918-472D-9491-1E24A3126189}"/>
  <bookViews>
    <workbookView xWindow="-120" yWindow="-120" windowWidth="29040" windowHeight="15720" xr2:uid="{7C854D0B-CB2F-450E-85EA-982EA9987B2D}"/>
  </bookViews>
  <sheets>
    <sheet name="Tabelle1" sheetId="1" r:id="rId1"/>
  </sheets>
  <definedNames>
    <definedName name="_xlnm.Print_Area" localSheetId="0">Tabelle1!$B$1:$N$17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K2" i="1"/>
  <c r="N2" i="1" l="1"/>
  <c r="N5" i="1"/>
  <c r="N6" i="1"/>
  <c r="N11" i="1"/>
  <c r="N16" i="1" l="1"/>
  <c r="N14" i="1"/>
  <c r="N13" i="1"/>
  <c r="N4" i="1"/>
  <c r="N8" i="1"/>
  <c r="N7" i="1"/>
  <c r="N9" i="1"/>
  <c r="N10" i="1"/>
  <c r="N17" i="1"/>
  <c r="N3" i="1"/>
  <c r="N15" i="1"/>
  <c r="N12" i="1"/>
</calcChain>
</file>

<file path=xl/sharedStrings.xml><?xml version="1.0" encoding="utf-8"?>
<sst xmlns="http://schemas.openxmlformats.org/spreadsheetml/2006/main" count="62" uniqueCount="34">
  <si>
    <t>Object</t>
  </si>
  <si>
    <t>TOP</t>
  </si>
  <si>
    <t>Floor</t>
  </si>
  <si>
    <t>NFA</t>
  </si>
  <si>
    <t>NFA weighted</t>
  </si>
  <si>
    <t>EG</t>
  </si>
  <si>
    <t>1. OG</t>
  </si>
  <si>
    <t>2. OG</t>
  </si>
  <si>
    <t>3. OG</t>
  </si>
  <si>
    <t>EG /Retail</t>
  </si>
  <si>
    <t>1090, Zimmermannplatz 6</t>
  </si>
  <si>
    <t>Anmerkung</t>
  </si>
  <si>
    <t>1.DG</t>
  </si>
  <si>
    <t>2.DG</t>
  </si>
  <si>
    <t>Room</t>
  </si>
  <si>
    <t>balcony (50 %)</t>
  </si>
  <si>
    <t>loggia (100 %)</t>
  </si>
  <si>
    <t>terrace (30 %)</t>
  </si>
  <si>
    <t>Purchase price</t>
  </si>
  <si>
    <t>Price per NFA weighted</t>
  </si>
  <si>
    <t>Zimmermannplatz  (Süden)</t>
  </si>
  <si>
    <t xml:space="preserve">Meynertgasse (Osten) </t>
  </si>
  <si>
    <t>Raumhöhe 1.DG: 2,52</t>
  </si>
  <si>
    <t>14-15</t>
  </si>
  <si>
    <t>10+11</t>
  </si>
  <si>
    <t xml:space="preserve">Vergleich zu Top 5 besser: separate Toilette und zusätzlich Toilette im Bad, Doppelflügeltür  </t>
  </si>
  <si>
    <t xml:space="preserve">keine Flügeltüren, Innenhoflage und großer Balkon </t>
  </si>
  <si>
    <t>Vergleich Top 5 &amp; 6 hat einen Balkon + 2 Toiletten, 1 Zimmer Innenhoflage</t>
  </si>
  <si>
    <t>es dürfen inkl. Nebengebühren nicht mehr 2 Mio sein (wg Ust bei Vermietung)_Anlegerpreis?</t>
  </si>
  <si>
    <t>Anlegerpreis?</t>
  </si>
  <si>
    <t>siehe Top 3, tw. Gewerbe tw. zusätzliche Wohnung gartenseitig ist - noch nicht auf Liste- Anlegerpreis?</t>
  </si>
  <si>
    <t>Garden (10%)</t>
  </si>
  <si>
    <t>Roof terrace (10%)</t>
  </si>
  <si>
    <t>storage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</si>
</sst>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€&quot;\ #,##0.00"/>
  </numFmts>
  <fonts count="7" x14ac:knownFonts="1">
    <font>
      <sz val="11"/>
      <color theme="1"/>
      <name val="Calibri"/>
      <family val="2"/>
      <scheme val="minor"/>
    </font>
    <font>
      <sz val="8.25"/>
      <color rgb="FFFFFFFF"/>
      <name val="Segoe UI"/>
      <family val="2"/>
    </font>
    <font>
      <sz val="8.25"/>
      <color rgb="FF000000"/>
      <name val="Segoe UI"/>
      <family val="2"/>
    </font>
    <font>
      <sz val="8"/>
      <name val="Calibri"/>
      <family val="2"/>
      <scheme val="minor"/>
    </font>
    <font>
      <sz val="8.5"/>
      <color theme="1"/>
      <name val="Segoe UI"/>
      <family val="2"/>
    </font>
    <font>
      <sz val="8.25"/>
      <color rgb="FF000000"/>
      <name val="Segoe UI"/>
      <family val="2"/>
    </font>
    <font>
      <b/>
      <sz val="8.2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B1C30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4" xfId="0" applyFont="1" applyBorder="1"/>
    <xf numFmtId="0" fontId="4" fillId="0" borderId="3" xfId="0" applyFont="1" applyBorder="1"/>
    <xf numFmtId="0" fontId="1" fillId="2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BD5B-B078-43A8-8D1E-FDFCC6CEE58C}">
  <sheetPr>
    <pageSetUpPr fitToPage="1"/>
  </sheetPr>
  <dimension ref="A1:P22"/>
  <sheetViews>
    <sheetView tabSelected="1" topLeftCell="B1" zoomScaleNormal="100" workbookViewId="0">
      <selection activeCell="S12" sqref="S12"/>
    </sheetView>
  </sheetViews>
  <sheetFormatPr baseColWidth="10" defaultRowHeight="15" x14ac:dyDescent="0.25"/>
  <cols>
    <col min="1" max="1" width="22" hidden="1" customWidth="1"/>
    <col min="2" max="2" width="5.85546875" customWidth="1"/>
    <col min="6" max="6" width="6.85546875" customWidth="1"/>
    <col min="7" max="8" width="7.42578125" customWidth="1"/>
    <col min="9" max="9" width="10.42578125" customWidth="1"/>
    <col min="10" max="10" width="8" customWidth="1"/>
    <col min="13" max="13" width="19.28515625" customWidth="1"/>
    <col min="14" max="14" width="12.7109375" customWidth="1"/>
    <col min="15" max="15" width="80.7109375" hidden="1" customWidth="1"/>
  </cols>
  <sheetData>
    <row r="1" spans="1:15" ht="32.25" customHeight="1" x14ac:dyDescent="0.25">
      <c r="A1" s="10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16</v>
      </c>
      <c r="G1" s="1" t="s">
        <v>15</v>
      </c>
      <c r="H1" s="1" t="s">
        <v>17</v>
      </c>
      <c r="I1" s="1" t="s">
        <v>32</v>
      </c>
      <c r="J1" s="1" t="s">
        <v>31</v>
      </c>
      <c r="K1" s="1" t="s">
        <v>4</v>
      </c>
      <c r="L1" s="1" t="s">
        <v>33</v>
      </c>
      <c r="M1" s="25" t="s">
        <v>18</v>
      </c>
      <c r="N1" s="1" t="s">
        <v>19</v>
      </c>
      <c r="O1" s="11" t="s">
        <v>11</v>
      </c>
    </row>
    <row r="2" spans="1:15" x14ac:dyDescent="0.25">
      <c r="A2" s="2" t="s">
        <v>10</v>
      </c>
      <c r="B2" s="16">
        <v>1</v>
      </c>
      <c r="C2" s="3" t="s">
        <v>9</v>
      </c>
      <c r="D2" s="3"/>
      <c r="E2" s="12">
        <v>125.37</v>
      </c>
      <c r="F2" s="12"/>
      <c r="G2" s="3"/>
      <c r="H2" s="3"/>
      <c r="I2" s="3"/>
      <c r="J2" s="3"/>
      <c r="K2" s="14">
        <f>E2+F2+G2*0.5+H2*0.3+I2*0.1+J2*0.1</f>
        <v>125.37</v>
      </c>
      <c r="L2" s="14">
        <v>66.13</v>
      </c>
      <c r="M2" s="26">
        <v>675000</v>
      </c>
      <c r="N2" s="18">
        <f>M2/K2</f>
        <v>5384.0631730078967</v>
      </c>
      <c r="O2" s="8" t="s">
        <v>30</v>
      </c>
    </row>
    <row r="3" spans="1:15" ht="15.75" thickBot="1" x14ac:dyDescent="0.3">
      <c r="A3" s="2" t="s">
        <v>10</v>
      </c>
      <c r="B3" s="17">
        <v>2</v>
      </c>
      <c r="C3" s="6" t="s">
        <v>5</v>
      </c>
      <c r="D3" s="6">
        <v>4</v>
      </c>
      <c r="E3" s="13">
        <v>81.98</v>
      </c>
      <c r="F3" s="13"/>
      <c r="G3" s="6"/>
      <c r="H3" s="6">
        <v>2.74</v>
      </c>
      <c r="I3" s="6"/>
      <c r="J3" s="6">
        <v>14.54</v>
      </c>
      <c r="K3" s="15">
        <f t="shared" ref="K3:K17" si="0">E3+F3+G3*0.5+H3*0.3+I3*0.1+J3*0.1</f>
        <v>84.256</v>
      </c>
      <c r="L3" s="15">
        <v>4.82</v>
      </c>
      <c r="M3" s="27">
        <v>475000</v>
      </c>
      <c r="N3" s="19">
        <f>M3/K3</f>
        <v>5637.5807064185337</v>
      </c>
      <c r="O3" s="8"/>
    </row>
    <row r="4" spans="1:15" x14ac:dyDescent="0.25">
      <c r="A4" s="2" t="s">
        <v>10</v>
      </c>
      <c r="B4" s="16">
        <v>4</v>
      </c>
      <c r="C4" s="3" t="s">
        <v>6</v>
      </c>
      <c r="D4" s="3">
        <v>2</v>
      </c>
      <c r="E4" s="12">
        <v>55.1</v>
      </c>
      <c r="F4" s="12"/>
      <c r="G4" s="3">
        <v>10.98</v>
      </c>
      <c r="H4" s="3"/>
      <c r="I4" s="3"/>
      <c r="J4" s="3"/>
      <c r="K4" s="14">
        <f t="shared" si="0"/>
        <v>60.59</v>
      </c>
      <c r="L4" s="14">
        <v>3.52</v>
      </c>
      <c r="M4" s="26">
        <v>440000</v>
      </c>
      <c r="N4" s="18">
        <f>M4/K4</f>
        <v>7261.9244099686412</v>
      </c>
      <c r="O4" s="8" t="s">
        <v>27</v>
      </c>
    </row>
    <row r="5" spans="1:15" x14ac:dyDescent="0.25">
      <c r="A5" s="2" t="s">
        <v>10</v>
      </c>
      <c r="B5" s="16">
        <v>5</v>
      </c>
      <c r="C5" s="3" t="s">
        <v>6</v>
      </c>
      <c r="D5" s="3">
        <v>2</v>
      </c>
      <c r="E5" s="12">
        <v>55.34</v>
      </c>
      <c r="F5" s="12"/>
      <c r="G5" s="3"/>
      <c r="H5" s="3"/>
      <c r="I5" s="3"/>
      <c r="J5" s="3"/>
      <c r="K5" s="14">
        <f t="shared" si="0"/>
        <v>55.34</v>
      </c>
      <c r="L5" s="14">
        <v>3.52</v>
      </c>
      <c r="M5" s="26">
        <v>390000</v>
      </c>
      <c r="N5" s="18">
        <f>M5/K5</f>
        <v>7047.3436935308991</v>
      </c>
      <c r="O5" s="8"/>
    </row>
    <row r="6" spans="1:15" x14ac:dyDescent="0.25">
      <c r="A6" s="2" t="s">
        <v>10</v>
      </c>
      <c r="B6" s="16">
        <v>6</v>
      </c>
      <c r="C6" s="3" t="s">
        <v>6</v>
      </c>
      <c r="D6" s="3">
        <v>2</v>
      </c>
      <c r="E6" s="12">
        <v>52.58</v>
      </c>
      <c r="F6" s="12"/>
      <c r="G6" s="3"/>
      <c r="H6" s="3"/>
      <c r="I6" s="3"/>
      <c r="J6" s="3"/>
      <c r="K6" s="14">
        <f t="shared" si="0"/>
        <v>52.58</v>
      </c>
      <c r="L6" s="14">
        <v>3.53</v>
      </c>
      <c r="M6" s="26">
        <v>380000</v>
      </c>
      <c r="N6" s="18">
        <f>M6/K6</f>
        <v>7227.0825408900728</v>
      </c>
      <c r="O6" s="8" t="s">
        <v>25</v>
      </c>
    </row>
    <row r="7" spans="1:15" x14ac:dyDescent="0.25">
      <c r="A7" s="2" t="s">
        <v>10</v>
      </c>
      <c r="B7" s="16">
        <v>7</v>
      </c>
      <c r="C7" s="3" t="s">
        <v>6</v>
      </c>
      <c r="D7" s="3">
        <v>3</v>
      </c>
      <c r="E7" s="12">
        <v>86.65</v>
      </c>
      <c r="F7" s="12"/>
      <c r="G7" s="3"/>
      <c r="H7" s="3"/>
      <c r="I7" s="3"/>
      <c r="J7" s="3"/>
      <c r="K7" s="14">
        <f t="shared" si="0"/>
        <v>86.65</v>
      </c>
      <c r="L7" s="14">
        <v>4.92</v>
      </c>
      <c r="M7" s="26">
        <v>610000</v>
      </c>
      <c r="N7" s="18">
        <f>M7/K7</f>
        <v>7039.8153491055964</v>
      </c>
      <c r="O7" s="8"/>
    </row>
    <row r="8" spans="1:15" ht="15.75" thickBot="1" x14ac:dyDescent="0.3">
      <c r="A8" s="7" t="s">
        <v>10</v>
      </c>
      <c r="B8" s="17">
        <v>8</v>
      </c>
      <c r="C8" s="6" t="s">
        <v>6</v>
      </c>
      <c r="D8" s="6">
        <v>3</v>
      </c>
      <c r="E8" s="13">
        <v>72.72</v>
      </c>
      <c r="F8" s="13"/>
      <c r="G8" s="6">
        <v>5.48</v>
      </c>
      <c r="H8" s="6"/>
      <c r="I8" s="6"/>
      <c r="J8" s="6"/>
      <c r="K8" s="15">
        <f t="shared" si="0"/>
        <v>75.459999999999994</v>
      </c>
      <c r="L8" s="15">
        <v>4.5199999999999996</v>
      </c>
      <c r="M8" s="27">
        <v>620000</v>
      </c>
      <c r="N8" s="19">
        <f>M8/K8</f>
        <v>8216.2735223959717</v>
      </c>
      <c r="O8" s="8"/>
    </row>
    <row r="9" spans="1:15" ht="15.75" thickBot="1" x14ac:dyDescent="0.3">
      <c r="A9" s="2" t="s">
        <v>10</v>
      </c>
      <c r="B9" s="20" t="s">
        <v>24</v>
      </c>
      <c r="C9" s="21" t="s">
        <v>7</v>
      </c>
      <c r="D9" s="21">
        <v>3</v>
      </c>
      <c r="E9" s="22">
        <v>82.04</v>
      </c>
      <c r="F9" s="22"/>
      <c r="G9" s="21"/>
      <c r="H9" s="21"/>
      <c r="I9" s="21"/>
      <c r="J9" s="21"/>
      <c r="K9" s="23">
        <f t="shared" si="0"/>
        <v>82.04</v>
      </c>
      <c r="L9" s="23">
        <v>4.88</v>
      </c>
      <c r="M9" s="28">
        <v>620000</v>
      </c>
      <c r="N9" s="24">
        <f>M9/K9</f>
        <v>7557.2891272549969</v>
      </c>
      <c r="O9" s="8"/>
    </row>
    <row r="10" spans="1:15" x14ac:dyDescent="0.25">
      <c r="A10" s="2" t="s">
        <v>10</v>
      </c>
      <c r="B10" s="16" t="s">
        <v>23</v>
      </c>
      <c r="C10" s="3" t="s">
        <v>8</v>
      </c>
      <c r="D10" s="3">
        <v>4</v>
      </c>
      <c r="E10" s="12">
        <v>119.18</v>
      </c>
      <c r="F10" s="12"/>
      <c r="G10" s="3">
        <v>10.98</v>
      </c>
      <c r="H10" s="3"/>
      <c r="I10" s="3"/>
      <c r="J10" s="3"/>
      <c r="K10" s="14">
        <f t="shared" si="0"/>
        <v>124.67</v>
      </c>
      <c r="L10" s="14">
        <v>6.64</v>
      </c>
      <c r="M10" s="26">
        <v>1050000</v>
      </c>
      <c r="N10" s="18">
        <f>M10/K10</f>
        <v>8422.2346996069627</v>
      </c>
      <c r="O10" s="8" t="s">
        <v>26</v>
      </c>
    </row>
    <row r="11" spans="1:15" ht="15.75" thickBot="1" x14ac:dyDescent="0.3">
      <c r="A11" s="2" t="s">
        <v>10</v>
      </c>
      <c r="B11" s="17">
        <v>17</v>
      </c>
      <c r="C11" s="6" t="s">
        <v>8</v>
      </c>
      <c r="D11" s="6">
        <v>3</v>
      </c>
      <c r="E11" s="13">
        <v>109.97</v>
      </c>
      <c r="F11" s="13"/>
      <c r="G11" s="6"/>
      <c r="H11" s="6"/>
      <c r="I11" s="6"/>
      <c r="J11" s="6"/>
      <c r="K11" s="15">
        <f t="shared" si="0"/>
        <v>109.97</v>
      </c>
      <c r="L11" s="15">
        <v>5.88</v>
      </c>
      <c r="M11" s="27">
        <v>890000</v>
      </c>
      <c r="N11" s="19">
        <f>M11/K11</f>
        <v>8093.1163044466675</v>
      </c>
      <c r="O11" s="8"/>
    </row>
    <row r="12" spans="1:15" x14ac:dyDescent="0.25">
      <c r="A12" s="2" t="s">
        <v>10</v>
      </c>
      <c r="B12" s="16">
        <v>19</v>
      </c>
      <c r="C12" s="3" t="s">
        <v>12</v>
      </c>
      <c r="D12" s="3">
        <v>2</v>
      </c>
      <c r="E12" s="12">
        <v>53.85</v>
      </c>
      <c r="F12" s="12">
        <v>3.45</v>
      </c>
      <c r="G12" s="3"/>
      <c r="H12" s="3"/>
      <c r="I12" s="3"/>
      <c r="J12" s="3"/>
      <c r="K12" s="14">
        <f t="shared" si="0"/>
        <v>57.300000000000004</v>
      </c>
      <c r="L12" s="14">
        <v>3.92</v>
      </c>
      <c r="M12" s="26">
        <v>650000</v>
      </c>
      <c r="N12" s="18">
        <f>M12/K12</f>
        <v>11343.804537521813</v>
      </c>
      <c r="O12" s="8" t="s">
        <v>29</v>
      </c>
    </row>
    <row r="13" spans="1:15" x14ac:dyDescent="0.25">
      <c r="A13" s="2" t="s">
        <v>10</v>
      </c>
      <c r="B13" s="16">
        <v>20</v>
      </c>
      <c r="C13" s="3" t="s">
        <v>12</v>
      </c>
      <c r="D13" s="3">
        <v>3</v>
      </c>
      <c r="E13" s="12">
        <v>87.02</v>
      </c>
      <c r="F13" s="12"/>
      <c r="G13" s="3"/>
      <c r="H13" s="3">
        <v>5.52</v>
      </c>
      <c r="I13" s="3"/>
      <c r="J13" s="3"/>
      <c r="K13" s="14">
        <f t="shared" si="0"/>
        <v>88.676000000000002</v>
      </c>
      <c r="L13" s="14">
        <v>5.31</v>
      </c>
      <c r="M13" s="26">
        <v>1050000</v>
      </c>
      <c r="N13" s="18">
        <f>M13/K13</f>
        <v>11840.858856962424</v>
      </c>
      <c r="O13" s="8" t="s">
        <v>29</v>
      </c>
    </row>
    <row r="14" spans="1:15" x14ac:dyDescent="0.25">
      <c r="A14" s="2" t="s">
        <v>10</v>
      </c>
      <c r="B14" s="16">
        <v>21</v>
      </c>
      <c r="C14" s="3" t="s">
        <v>12</v>
      </c>
      <c r="D14" s="3">
        <v>3</v>
      </c>
      <c r="E14" s="12">
        <v>84.5</v>
      </c>
      <c r="F14" s="12">
        <v>3.37</v>
      </c>
      <c r="G14" s="3"/>
      <c r="H14" s="3">
        <v>1.83</v>
      </c>
      <c r="I14" s="3"/>
      <c r="J14" s="3"/>
      <c r="K14" s="14">
        <f t="shared" si="0"/>
        <v>88.419000000000011</v>
      </c>
      <c r="L14" s="14">
        <v>4.18</v>
      </c>
      <c r="M14" s="26">
        <v>890000</v>
      </c>
      <c r="N14" s="18">
        <f>M14/K14</f>
        <v>10065.709858740767</v>
      </c>
      <c r="O14" s="8" t="s">
        <v>29</v>
      </c>
    </row>
    <row r="15" spans="1:15" ht="15.75" thickBot="1" x14ac:dyDescent="0.3">
      <c r="A15" s="2" t="s">
        <v>10</v>
      </c>
      <c r="B15" s="17">
        <v>22</v>
      </c>
      <c r="C15" s="6" t="s">
        <v>12</v>
      </c>
      <c r="D15" s="6">
        <v>4</v>
      </c>
      <c r="E15" s="13">
        <v>116.97</v>
      </c>
      <c r="F15" s="13">
        <v>3.35</v>
      </c>
      <c r="G15" s="6">
        <v>7.01</v>
      </c>
      <c r="H15" s="6"/>
      <c r="I15" s="6"/>
      <c r="J15" s="6"/>
      <c r="K15" s="15">
        <f t="shared" si="0"/>
        <v>123.82499999999999</v>
      </c>
      <c r="L15" s="15">
        <v>6.6</v>
      </c>
      <c r="M15" s="27">
        <v>1400000</v>
      </c>
      <c r="N15" s="19">
        <f>M15/K15</f>
        <v>11306.279022814457</v>
      </c>
      <c r="O15" s="9" t="s">
        <v>29</v>
      </c>
    </row>
    <row r="16" spans="1:15" x14ac:dyDescent="0.25">
      <c r="A16" s="4" t="s">
        <v>10</v>
      </c>
      <c r="B16" s="16">
        <v>23</v>
      </c>
      <c r="C16" s="3" t="s">
        <v>13</v>
      </c>
      <c r="D16" s="3">
        <v>4</v>
      </c>
      <c r="E16" s="12">
        <v>160.32</v>
      </c>
      <c r="F16" s="3"/>
      <c r="G16" s="3"/>
      <c r="H16" s="3">
        <v>16.89</v>
      </c>
      <c r="I16" s="3">
        <v>78.88</v>
      </c>
      <c r="J16" s="3"/>
      <c r="K16" s="14">
        <f t="shared" si="0"/>
        <v>173.27500000000001</v>
      </c>
      <c r="L16" s="14">
        <v>9.2200000000000006</v>
      </c>
      <c r="M16" s="26">
        <v>1900000</v>
      </c>
      <c r="N16" s="18">
        <f>M16/K16</f>
        <v>10965.228682729765</v>
      </c>
      <c r="O16" s="8" t="s">
        <v>28</v>
      </c>
    </row>
    <row r="17" spans="1:15" ht="15.75" thickBot="1" x14ac:dyDescent="0.3">
      <c r="A17" s="5" t="s">
        <v>10</v>
      </c>
      <c r="B17" s="17">
        <v>24</v>
      </c>
      <c r="C17" s="6" t="s">
        <v>13</v>
      </c>
      <c r="D17" s="6">
        <v>4</v>
      </c>
      <c r="E17" s="13">
        <v>136.74</v>
      </c>
      <c r="F17" s="13"/>
      <c r="G17" s="6"/>
      <c r="H17" s="6">
        <v>17.75</v>
      </c>
      <c r="I17" s="6">
        <v>48.41</v>
      </c>
      <c r="J17" s="6"/>
      <c r="K17" s="15">
        <f t="shared" si="0"/>
        <v>146.90600000000001</v>
      </c>
      <c r="L17" s="15">
        <v>8.68</v>
      </c>
      <c r="M17" s="27">
        <v>1590000</v>
      </c>
      <c r="N17" s="19">
        <f>M17/K17</f>
        <v>10823.247518821559</v>
      </c>
      <c r="O17" s="9" t="s">
        <v>29</v>
      </c>
    </row>
    <row r="19" spans="1:15" x14ac:dyDescent="0.25">
      <c r="A19" t="s">
        <v>20</v>
      </c>
    </row>
    <row r="20" spans="1:15" x14ac:dyDescent="0.25">
      <c r="A20" t="s">
        <v>21</v>
      </c>
    </row>
    <row r="22" spans="1:15" x14ac:dyDescent="0.25">
      <c r="A22" t="s">
        <v>22</v>
      </c>
    </row>
  </sheetData>
  <phoneticPr fontId="3" type="noConversion"/>
  <pageMargins left="0.7" right="0.7" top="0.78740157499999996" bottom="0.78740157499999996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Schelling</dc:creator>
  <cp:lastModifiedBy>Pia Schelling</cp:lastModifiedBy>
  <cp:lastPrinted>2026-09-30T12:19:03Z</cp:lastPrinted>
  <dcterms:created xsi:type="dcterms:W3CDTF">2026-02-23T11:13:51Z</dcterms:created>
  <dcterms:modified xsi:type="dcterms:W3CDTF">2026-10-05T07:26:38Z</dcterms:modified>
</cp:coreProperties>
</file>